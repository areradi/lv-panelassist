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_Spec" sheetId="1" state="visible" r:id="rId1"/>
    <sheet name="Feeders_List" sheetId="2" state="visible" r:id="rId2"/>
    <sheet name="Guide_&amp;_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Parameter_Key</t>
        </is>
      </c>
      <c r="B1" s="1" t="inlineStr">
        <is>
          <t>Value</t>
        </is>
      </c>
      <c r="C1" s="1" t="inlineStr">
        <is>
          <t>Allowed_Options / Guide</t>
        </is>
      </c>
    </row>
    <row r="2">
      <c r="A2" t="inlineStr">
        <is>
          <t>project_name</t>
        </is>
      </c>
      <c r="B2" t="inlineStr">
        <is>
          <t>پمپ‌خانه صنعتی (MDB-PUMP-02)</t>
        </is>
      </c>
      <c r="C2" t="inlineStr">
        <is>
          <t>نام پروژه</t>
        </is>
      </c>
    </row>
    <row r="3">
      <c r="A3" t="inlineStr">
        <is>
          <t>panel_tag</t>
        </is>
      </c>
      <c r="B3" t="inlineStr">
        <is>
          <t>+MCC1</t>
        </is>
      </c>
      <c r="C3" t="inlineStr">
        <is>
          <t>کد مکان تابلو</t>
        </is>
      </c>
    </row>
    <row r="4">
      <c r="A4" t="inlineStr">
        <is>
          <t>nominal_voltage_v</t>
        </is>
      </c>
      <c r="B4" t="n">
        <v>400</v>
      </c>
      <c r="C4" t="inlineStr">
        <is>
          <t>ولتاژ خط به ولت</t>
        </is>
      </c>
    </row>
    <row r="5">
      <c r="A5" t="inlineStr">
        <is>
          <t>earthing_system</t>
        </is>
      </c>
      <c r="B5" t="inlineStr">
        <is>
          <t>TN-S</t>
        </is>
      </c>
      <c r="C5" t="inlineStr">
        <is>
          <t>TN-S | TN-C-S | TT | IT</t>
        </is>
      </c>
    </row>
    <row r="6">
      <c r="A6" t="inlineStr">
        <is>
          <t>panel_type</t>
        </is>
      </c>
      <c r="B6" t="inlineStr">
        <is>
          <t>MCC</t>
        </is>
      </c>
      <c r="C6" t="inlineStr">
        <is>
          <t>نوع تابلو: MCC | DISTRIBUTION | CONTROL | PUMP_STATION</t>
        </is>
      </c>
    </row>
    <row r="7">
      <c r="A7" t="inlineStr">
        <is>
          <t>special_scenario</t>
        </is>
      </c>
      <c r="B7" t="inlineStr">
        <is>
          <t>NONE</t>
        </is>
      </c>
      <c r="C7" t="inlineStr">
        <is>
          <t>سناریو: NONE | FIRE_PUMP | ATS_MAINS_GEN | FIRE_PUMP_BYPASS</t>
        </is>
      </c>
    </row>
    <row r="8">
      <c r="A8" t="inlineStr">
        <is>
          <t>prospective_ik_ka</t>
        </is>
      </c>
      <c r="B8" t="n">
        <v>22</v>
      </c>
      <c r="C8" t="inlineStr">
        <is>
          <t>اتصال کوتاه (kA)</t>
        </is>
      </c>
    </row>
    <row r="9">
      <c r="A9" t="inlineStr">
        <is>
          <t>transformer_kva</t>
        </is>
      </c>
      <c r="B9" t="n">
        <v>1600</v>
      </c>
      <c r="C9" t="inlineStr">
        <is>
          <t>توان ترانس (kVA) — برای محاسبه Ik</t>
        </is>
      </c>
    </row>
    <row r="10">
      <c r="A10" t="inlineStr">
        <is>
          <t>transformer_uk_pct</t>
        </is>
      </c>
      <c r="B10" t="n">
        <v>6</v>
      </c>
      <c r="C10" t="inlineStr">
        <is>
          <t>ولتاژ اتصال کوتاه ترانس (%)</t>
        </is>
      </c>
    </row>
    <row r="11">
      <c r="A11" t="inlineStr">
        <is>
          <t>ambient_temp_c</t>
        </is>
      </c>
      <c r="B11" t="n">
        <v>40</v>
      </c>
      <c r="C11" t="inlineStr">
        <is>
          <t>دمای محیط (°C)</t>
        </is>
      </c>
    </row>
    <row r="12">
      <c r="A12" t="inlineStr">
        <is>
          <t>max_internal_temp_c</t>
        </is>
      </c>
      <c r="B12" t="n">
        <v>50</v>
      </c>
      <c r="C12" t="inlineStr">
        <is>
          <t>دمای داخل تابلو (°C)</t>
        </is>
      </c>
    </row>
    <row r="13">
      <c r="A13" t="inlineStr">
        <is>
          <t>altitude_m</t>
        </is>
      </c>
      <c r="B13" t="n">
        <v>1000</v>
      </c>
      <c r="C13" t="inlineStr">
        <is>
          <t>ارتفاع از دریا (m)</t>
        </is>
      </c>
    </row>
    <row r="14">
      <c r="A14" t="inlineStr">
        <is>
          <t>target_ip</t>
        </is>
      </c>
      <c r="B14" t="inlineStr">
        <is>
          <t>IP54</t>
        </is>
      </c>
      <c r="C14" t="inlineStr">
        <is>
          <t>IP۵۴ | IP۶۵</t>
        </is>
      </c>
    </row>
    <row r="15">
      <c r="A15" t="inlineStr">
        <is>
          <t>internal_separation_form</t>
        </is>
      </c>
      <c r="B15" t="inlineStr">
        <is>
          <t>Form 2b</t>
        </is>
      </c>
      <c r="C15" t="inlineStr">
        <is>
          <t>Form ۱ | Form ۲b</t>
        </is>
      </c>
    </row>
    <row r="16">
      <c r="A16" t="inlineStr">
        <is>
          <t>simultaneity_factor_ks</t>
        </is>
      </c>
      <c r="B16" t="n">
        <v>0.85</v>
      </c>
      <c r="C16" t="inlineStr">
        <is>
          <t>ضریب هم‌زمانی</t>
        </is>
      </c>
    </row>
    <row r="17">
      <c r="A17" t="inlineStr">
        <is>
          <t>spare_factor</t>
        </is>
      </c>
      <c r="B17" t="n">
        <v>0.2</v>
      </c>
      <c r="C17" t="inlineStr">
        <is>
          <t>ضریب رزرو</t>
        </is>
      </c>
    </row>
    <row r="18">
      <c r="A18" t="inlineStr">
        <is>
          <t>plc_hmi_24vdc_power_w</t>
        </is>
      </c>
      <c r="B18" t="n">
        <v>55</v>
      </c>
      <c r="C18" t="inlineStr">
        <is>
          <t>توان PLC و HMI (W)</t>
        </is>
      </c>
    </row>
    <row r="19">
      <c r="A19" t="inlineStr">
        <is>
          <t>simultaneous_motor_starts</t>
        </is>
      </c>
      <c r="B19" t="n">
        <v>2</v>
      </c>
      <c r="C19" t="inlineStr">
        <is>
          <t>تعداد استارت هم‌زمان</t>
        </is>
      </c>
    </row>
    <row r="20">
      <c r="A20" t="inlineStr">
        <is>
          <t>preferred_manufacturer</t>
        </is>
      </c>
      <c r="B20" t="inlineStr">
        <is>
          <t>ANY</t>
        </is>
      </c>
      <c r="C20" t="inlineStr">
        <is>
          <t>سازنده ترجیحی: ANY (همه) یا نام سازنده مانند ABB / Schneider / Eaton / Siemens</t>
        </is>
      </c>
    </row>
  </sheetData>
  <dataValidations count="5">
    <dataValidation sqref="B5" showDropDown="0" showInputMessage="0" showErrorMessage="0" allowBlank="1" errorTitle="مقدار نامعتبر" error="لطفاً یکی از مقادیر موجود در لیست کشویی را انتخاب کنید." type="list">
      <formula1>"TN-S,TN-C-S,TT,IT"</formula1>
    </dataValidation>
    <dataValidation sqref="B6" showDropDown="0" showInputMessage="0" showErrorMessage="0" allowBlank="1" errorTitle="مقدار نامعتبر" error="لطفاً یکی از مقادیر موجود در لیست کشویی را انتخاب کنید." type="list">
      <formula1>"MCC,DISTRIBUTION,CONTROL,PUMP_STATION"</formula1>
    </dataValidation>
    <dataValidation sqref="B7" showDropDown="0" showInputMessage="0" showErrorMessage="0" allowBlank="1" errorTitle="مقدار نامعتبر" error="لطفاً یکی از مقادیر موجود در لیست کشویی را انتخاب کنید." type="list">
      <formula1>"NONE,FIRE_PUMP,ATS_MAINS_GEN,FIRE_PUMP_BYPASS,ATS_MAINS_MAINS,UPS_CRITICAL,EMERGENCY_LIGHTING"</formula1>
    </dataValidation>
    <dataValidation sqref="B14" showDropDown="0" showInputMessage="0" showErrorMessage="0" allowBlank="1" errorTitle="مقدار نامعتبر" error="لطفاً یکی از مقادیر موجود در لیست کشویی را انتخاب کنید." type="list">
      <formula1>"IP54,IP55,IP66"</formula1>
    </dataValidation>
    <dataValidation sqref="B15" showDropDown="0" showInputMessage="0" showErrorMessage="0" allowBlank="1" errorTitle="مقدار نامعتبر" error="لطفاً یکی از مقادیر موجود در لیست کشویی را انتخاب کنید." type="list">
      <formula1>"Form 1,Form 2b,Form 3b,Form 4b"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کد فیدر</t>
        </is>
      </c>
      <c r="B1" s="1">
        <f>Function</f>
        <v/>
      </c>
      <c r="C1" s="1" t="inlineStr">
        <is>
          <t>+Location</t>
        </is>
      </c>
      <c r="D1" s="1" t="inlineStr">
        <is>
          <t>شرح بار</t>
        </is>
      </c>
      <c r="E1" s="1" t="inlineStr">
        <is>
          <t>نوع بار</t>
        </is>
      </c>
      <c r="F1" s="1" t="inlineStr">
        <is>
          <t>توان (kW)</t>
        </is>
      </c>
      <c r="G1" s="1" t="inlineStr">
        <is>
          <t>فاز</t>
        </is>
      </c>
      <c r="H1" s="1" t="inlineStr">
        <is>
          <t>cos φ</t>
        </is>
      </c>
      <c r="I1" s="1" t="inlineStr">
        <is>
          <t>راندمان</t>
        </is>
      </c>
      <c r="J1" s="1" t="inlineStr">
        <is>
          <t>ضریب تقاضا</t>
        </is>
      </c>
      <c r="K1" s="1" t="inlineStr">
        <is>
          <t>طول کابل (m)</t>
        </is>
      </c>
      <c r="L1" s="1" t="inlineStr">
        <is>
          <t>مقطع (mm²)</t>
        </is>
      </c>
      <c r="M1" s="1" t="inlineStr">
        <is>
          <t>پریز؟</t>
        </is>
      </c>
      <c r="N1" s="1" t="inlineStr">
        <is>
          <t>جنس هادی</t>
        </is>
      </c>
      <c r="O1" s="1" t="inlineStr">
        <is>
          <t>عایق</t>
        </is>
      </c>
      <c r="P1" s="1" t="inlineStr">
        <is>
          <t>روش نصب</t>
        </is>
      </c>
      <c r="Q1" s="1" t="inlineStr">
        <is>
          <t>مقاوم حریق</t>
        </is>
      </c>
      <c r="R1" s="1" t="inlineStr">
        <is>
          <t>THDi%</t>
        </is>
      </c>
      <c r="S1" s="1" t="inlineStr">
        <is>
          <t>پمپ آتش‌نشان</t>
        </is>
      </c>
    </row>
    <row r="2">
      <c r="A2" t="inlineStr">
        <is>
          <t>F01</t>
        </is>
      </c>
      <c r="B2">
        <f>PUMP1</f>
        <v/>
      </c>
      <c r="C2" t="inlineStr">
        <is>
          <t>+MCC1</t>
        </is>
      </c>
      <c r="D2" t="inlineStr">
        <is>
          <t>پمپ سیرکولاسیون ۱ (۱۵kW DOL)</t>
        </is>
      </c>
      <c r="E2" t="inlineStr">
        <is>
          <t>MOTOR_DOL</t>
        </is>
      </c>
      <c r="F2" t="n">
        <v>15</v>
      </c>
      <c r="G2" t="n">
        <v>3</v>
      </c>
      <c r="H2" t="n">
        <v>0.85</v>
      </c>
      <c r="I2" t="n">
        <v>0.91</v>
      </c>
      <c r="J2" t="n">
        <v>1</v>
      </c>
      <c r="K2" t="n">
        <v>45</v>
      </c>
      <c r="M2" t="b">
        <v>0</v>
      </c>
      <c r="N2" t="inlineStr">
        <is>
          <t>CU</t>
        </is>
      </c>
      <c r="O2" t="inlineStr">
        <is>
          <t>PVC</t>
        </is>
      </c>
      <c r="P2" t="inlineStr">
        <is>
          <t>C</t>
        </is>
      </c>
      <c r="Q2" t="b">
        <v>0</v>
      </c>
      <c r="S2" t="b">
        <v>0</v>
      </c>
    </row>
    <row r="3">
      <c r="A3" t="inlineStr">
        <is>
          <t>F02</t>
        </is>
      </c>
      <c r="B3">
        <f>COMP1</f>
        <v/>
      </c>
      <c r="C3" t="inlineStr">
        <is>
          <t>+MCC1</t>
        </is>
      </c>
      <c r="D3" t="inlineStr">
        <is>
          <t>کمپرسور (۳۰kW Star-Delta)</t>
        </is>
      </c>
      <c r="E3" t="inlineStr">
        <is>
          <t>MOTOR_STAR_DELTA</t>
        </is>
      </c>
      <c r="F3" t="n">
        <v>30</v>
      </c>
      <c r="G3" t="n">
        <v>3</v>
      </c>
      <c r="H3" t="n">
        <v>0.86</v>
      </c>
      <c r="I3" t="n">
        <v>0.93</v>
      </c>
      <c r="J3" t="n">
        <v>1</v>
      </c>
      <c r="K3" t="n">
        <v>55</v>
      </c>
      <c r="M3" t="b">
        <v>0</v>
      </c>
      <c r="N3" t="inlineStr">
        <is>
          <t>CU</t>
        </is>
      </c>
      <c r="O3" t="inlineStr">
        <is>
          <t>PVC</t>
        </is>
      </c>
      <c r="P3" t="inlineStr">
        <is>
          <t>C</t>
        </is>
      </c>
      <c r="Q3" t="b">
        <v>0</v>
      </c>
      <c r="S3" t="b">
        <v>0</v>
      </c>
    </row>
    <row r="4">
      <c r="A4" t="inlineStr">
        <is>
          <t>F03</t>
        </is>
      </c>
      <c r="B4">
        <f>PUMP2</f>
        <v/>
      </c>
      <c r="C4" t="inlineStr">
        <is>
          <t>+MCC1</t>
        </is>
      </c>
      <c r="D4" t="inlineStr">
        <is>
          <t>پمپ VFD (۱۸.۵kW)</t>
        </is>
      </c>
      <c r="E4" t="inlineStr">
        <is>
          <t>MOTOR_VFD</t>
        </is>
      </c>
      <c r="F4" t="n">
        <v>18.5</v>
      </c>
      <c r="G4" t="n">
        <v>3</v>
      </c>
      <c r="H4" t="n">
        <v>0.95</v>
      </c>
      <c r="I4" t="n">
        <v>0.9</v>
      </c>
      <c r="J4" t="n">
        <v>1</v>
      </c>
      <c r="K4" t="n">
        <v>40</v>
      </c>
      <c r="M4" t="b">
        <v>0</v>
      </c>
      <c r="N4" t="inlineStr">
        <is>
          <t>CU</t>
        </is>
      </c>
      <c r="O4" t="inlineStr">
        <is>
          <t>XLPE</t>
        </is>
      </c>
      <c r="P4" t="inlineStr">
        <is>
          <t>E</t>
        </is>
      </c>
      <c r="Q4" t="b">
        <v>0</v>
      </c>
      <c r="R4" t="n">
        <v>40</v>
      </c>
      <c r="S4" t="b">
        <v>0</v>
      </c>
    </row>
    <row r="5">
      <c r="A5" t="inlineStr">
        <is>
          <t>F04</t>
        </is>
      </c>
      <c r="B5">
        <f>LGT1</f>
        <v/>
      </c>
      <c r="C5" t="inlineStr">
        <is>
          <t>+MCC1</t>
        </is>
      </c>
      <c r="D5" t="inlineStr">
        <is>
          <t>روشنایی و پریز (۱۲kW)</t>
        </is>
      </c>
      <c r="E5" t="inlineStr">
        <is>
          <t>LIGHTING_SOCKET</t>
        </is>
      </c>
      <c r="F5" t="n">
        <v>12</v>
      </c>
      <c r="G5" t="n">
        <v>3</v>
      </c>
      <c r="H5" t="n">
        <v>0.9</v>
      </c>
      <c r="I5" t="n">
        <v>1</v>
      </c>
      <c r="J5" t="n">
        <v>0.8</v>
      </c>
      <c r="K5" t="n">
        <v>60</v>
      </c>
      <c r="M5" t="b">
        <v>1</v>
      </c>
      <c r="N5" t="inlineStr">
        <is>
          <t>CU</t>
        </is>
      </c>
      <c r="O5" t="inlineStr">
        <is>
          <t>PVC</t>
        </is>
      </c>
      <c r="P5" t="inlineStr">
        <is>
          <t>C</t>
        </is>
      </c>
      <c r="Q5" t="b">
        <v>0</v>
      </c>
      <c r="S5" t="b">
        <v>0</v>
      </c>
    </row>
  </sheetData>
  <dataValidations count="8">
    <dataValidation sqref="E2:E2000" showDropDown="0" showInputMessage="0" showErrorMessage="0" allowBlank="1" errorTitle="مقدار نامعتبر" error="لطفاً یکی از مقادیر موجود در لیست کشویی را انتخاب کنید." type="list">
      <formula1>"MOTOR_DOL,MOTOR_STAR_DELTA,MOTOR_SOFT_STARTER,MOTOR_VFD,SUB_FEEDER,LIGHTING_SOCKET,HEATER_RESISTIVE"</formula1>
    </dataValidation>
    <dataValidation sqref="G2:G2000" showDropDown="0" showInputMessage="0" showErrorMessage="0" allowBlank="1" errorTitle="مقدار نامعتبر" error="لطفاً یکی از مقادیر موجود در لیست کشویی را انتخاب کنید." type="list">
      <formula1>"1,2,3"</formula1>
    </dataValidation>
    <dataValidation sqref="M2:M2000" showDropDown="0" showInputMessage="0" showErrorMessage="0" allowBlank="1" errorTitle="مقدار نامعتبر" error="لطفاً یکی از مقادیر موجود در لیست کشویی را انتخاب کنید." type="list">
      <formula1>"TRUE,FALSE"</formula1>
    </dataValidation>
    <dataValidation sqref="N2:N2000" showDropDown="0" showInputMessage="0" showErrorMessage="0" allowBlank="1" errorTitle="مقدار نامعتبر" error="لطفاً یکی از مقادیر موجود در لیست کشویی را انتخاب کنید." type="list">
      <formula1>"CU,AL"</formula1>
    </dataValidation>
    <dataValidation sqref="O2:O2000" showDropDown="0" showInputMessage="0" showErrorMessage="0" allowBlank="1" errorTitle="مقدار نامعتبر" error="لطفاً یکی از مقادیر موجود در لیست کشویی را انتخاب کنید." type="list">
      <formula1>"PVC,XLPE"</formula1>
    </dataValidation>
    <dataValidation sqref="P2:P2000" showDropDown="0" showInputMessage="0" showErrorMessage="0" allowBlank="1" errorTitle="مقدار نامعتبر" error="لطفاً یکی از مقادیر موجود در لیست کشویی را انتخاب کنید." type="list">
      <formula1>"C,B1,E,F"</formula1>
    </dataValidation>
    <dataValidation sqref="Q2:Q2000" showDropDown="0" showInputMessage="0" showErrorMessage="0" allowBlank="1" errorTitle="مقدار نامعتبر" error="لطفاً یکی از مقادیر موجود در لیست کشویی را انتخاب کنید." type="list">
      <formula1>"TRUE,FALSE"</formula1>
    </dataValidation>
    <dataValidation sqref="S2:S2000" showDropDown="0" showInputMessage="0" showErrorMessage="0" allowBlank="1" errorTitle="مقدار نامعتبر" error="لطفاً یکی از مقادیر موجود در لیست کشویی را انتخاب کنید.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55" customWidth="1" min="3" max="3"/>
    <col width="55" customWidth="1" min="4" max="4"/>
    <col width="45" customWidth="1" min="5" max="5"/>
    <col width="22" customWidth="1" min="6" max="6"/>
  </cols>
  <sheetData>
    <row r="1">
      <c r="A1" s="1" t="inlineStr">
        <is>
          <t>Field</t>
        </is>
      </c>
      <c r="B1" s="1" t="inlineStr">
        <is>
          <t>Description (FA)</t>
        </is>
      </c>
      <c r="C1" s="1" t="inlineStr">
        <is>
          <t>Description (EN)</t>
        </is>
      </c>
      <c r="D1" s="1" t="inlineStr">
        <is>
          <t>Description (DE)</t>
        </is>
      </c>
      <c r="E1" s="1" t="inlineStr">
        <is>
          <t>Allowed values / Unit</t>
        </is>
      </c>
      <c r="F1" s="1" t="inlineStr">
        <is>
          <t>Example</t>
        </is>
      </c>
    </row>
    <row r="2">
      <c r="A2" t="inlineStr">
        <is>
          <t>project_name</t>
        </is>
      </c>
      <c r="B2" t="inlineStr">
        <is>
          <t>نام پروژه (در عنوان گزارش‌ها و نقشه‌ها نمایش داده می‌شود)</t>
        </is>
      </c>
      <c r="C2" t="inlineStr">
        <is>
          <t>Project name (shown in report and drawing titles)</t>
        </is>
      </c>
      <c r="D2" t="inlineStr">
        <is>
          <t>Projektname (erscheint in Berichts- und Zeichnungstiteln)</t>
        </is>
      </c>
      <c r="E2" t="inlineStr">
        <is>
          <t>Text</t>
        </is>
      </c>
      <c r="F2" t="inlineStr">
        <is>
          <t>Pump Station (MDB-PUMP-02)</t>
        </is>
      </c>
    </row>
    <row r="3">
      <c r="A3" t="inlineStr">
        <is>
          <t>panel_tag</t>
        </is>
      </c>
      <c r="B3" t="inlineStr">
        <is>
          <t>تگ مکان نصب طبق IEC 81346 (پیشوند +)</t>
        </is>
      </c>
      <c r="C3" t="inlineStr">
        <is>
          <t>Location tag per IEC 81346 (+ prefix)</t>
        </is>
      </c>
      <c r="D3" t="inlineStr">
        <is>
          <t>Ortskennzeichen nach IEC 81346 (+ Präfix)</t>
        </is>
      </c>
      <c r="E3" t="inlineStr">
        <is>
          <t>Text</t>
        </is>
      </c>
      <c r="F3" t="inlineStr">
        <is>
          <t>+MCC1</t>
        </is>
      </c>
    </row>
    <row r="4">
      <c r="A4" t="inlineStr">
        <is>
          <t>nominal_voltage_v</t>
        </is>
      </c>
      <c r="B4" t="inlineStr">
        <is>
          <t>ولتاژ نامی شبکه (V)</t>
        </is>
      </c>
      <c r="C4" t="inlineStr">
        <is>
          <t>Nominal supply voltage (V)</t>
        </is>
      </c>
      <c r="D4" t="inlineStr">
        <is>
          <t>Netz-Nennspannung (V)</t>
        </is>
      </c>
      <c r="E4" t="inlineStr">
        <is>
          <t>V (e.g. 400)</t>
        </is>
      </c>
      <c r="F4" t="inlineStr">
        <is>
          <t>400</t>
        </is>
      </c>
    </row>
    <row r="5">
      <c r="A5" t="inlineStr">
        <is>
          <t>earthing_system</t>
        </is>
      </c>
      <c r="B5" t="inlineStr">
        <is>
          <t>سیستم زمین (نوع اتصال شبکه)</t>
        </is>
      </c>
      <c r="C5" t="inlineStr">
        <is>
          <t>Earthing system (network connection type)</t>
        </is>
      </c>
      <c r="D5" t="inlineStr">
        <is>
          <t>Erdungssystem (Netzanschlussart)</t>
        </is>
      </c>
      <c r="E5" t="inlineStr">
        <is>
          <t>TN-S | TN-C-S | TT | IT</t>
        </is>
      </c>
      <c r="F5" t="inlineStr">
        <is>
          <t>TN-S</t>
        </is>
      </c>
    </row>
    <row r="6">
      <c r="A6" t="inlineStr">
        <is>
          <t>panel_type</t>
        </is>
      </c>
      <c r="B6" t="inlineStr">
        <is>
          <t>نوع تابلو</t>
        </is>
      </c>
      <c r="C6" t="inlineStr">
        <is>
          <t>Panel type</t>
        </is>
      </c>
      <c r="D6" t="inlineStr">
        <is>
          <t>Schaltschranktyp</t>
        </is>
      </c>
      <c r="E6" t="inlineStr">
        <is>
          <t>MCC | DISTRIBUTION | CONTROL | PUMP_STATION</t>
        </is>
      </c>
      <c r="F6" t="inlineStr">
        <is>
          <t>MCC</t>
        </is>
      </c>
    </row>
    <row r="7">
      <c r="A7" t="inlineStr">
        <is>
          <t>special_scenario</t>
        </is>
      </c>
      <c r="B7" t="inlineStr">
        <is>
          <t>سناریوی ویژه پروژه (پمپ آتش، ATS و ...)</t>
        </is>
      </c>
      <c r="C7" t="inlineStr">
        <is>
          <t>Special project scenario (fire pump, ATS, ...)</t>
        </is>
      </c>
      <c r="D7" t="inlineStr">
        <is>
          <t>Sonderprojektszenario (Feuerlöschpumpe, ATS, ...)</t>
        </is>
      </c>
      <c r="E7" t="inlineStr">
        <is>
          <t>NONE | FIRE_PUMP | ATS_MAINS_GEN | FIRE_PUMP_BYPASS | ATS_MAINS_MAINS | UPS_CRITICAL | EMERGENCY_LIGHTING</t>
        </is>
      </c>
      <c r="F7" t="inlineStr">
        <is>
          <t>NONE</t>
        </is>
      </c>
    </row>
    <row r="8">
      <c r="A8" t="inlineStr">
        <is>
          <t>prospective_ik_ka</t>
        </is>
      </c>
      <c r="B8" t="inlineStr">
        <is>
          <t>جریان اتصال کوتاه احتمالی در محل نصب (kA)؛ خالی = برآورد از ترانس</t>
        </is>
      </c>
      <c r="C8" t="inlineStr">
        <is>
          <t>Prospective short-circuit current at installation point (kA); empty = estimated from transformer</t>
        </is>
      </c>
      <c r="D8" t="inlineStr">
        <is>
          <t>Prospektiver Kurzschlussstrom am Einbauort (kA); leer = aus Transformator geschätzt</t>
        </is>
      </c>
      <c r="E8" t="inlineStr">
        <is>
          <t>kA</t>
        </is>
      </c>
      <c r="F8" t="inlineStr">
        <is>
          <t>22</t>
        </is>
      </c>
    </row>
    <row r="9">
      <c r="A9" t="inlineStr">
        <is>
          <t>transformer_kva</t>
        </is>
      </c>
      <c r="B9" t="inlineStr">
        <is>
          <t>توان نامی ترانس تغذیه (kVA)</t>
        </is>
      </c>
      <c r="C9" t="inlineStr">
        <is>
          <t>Feeding transformer rating (kVA)</t>
        </is>
      </c>
      <c r="D9" t="inlineStr">
        <is>
          <t>Nennleistung des speisenden Transformators (kVA)</t>
        </is>
      </c>
      <c r="E9" t="inlineStr">
        <is>
          <t>kVA</t>
        </is>
      </c>
      <c r="F9" t="inlineStr">
        <is>
          <t>1600</t>
        </is>
      </c>
    </row>
    <row r="10">
      <c r="A10" t="inlineStr">
        <is>
          <t>transformer_uk_pct</t>
        </is>
      </c>
      <c r="B10" t="inlineStr">
        <is>
          <t>ولتاژ اتصال کوتاه ترانس (%)</t>
        </is>
      </c>
      <c r="C10" t="inlineStr">
        <is>
          <t>Transformer short-circuit voltage (%)</t>
        </is>
      </c>
      <c r="D10" t="inlineStr">
        <is>
          <t>Kurzschlussspannung des Transformators (%)</t>
        </is>
      </c>
      <c r="E10" t="inlineStr">
        <is>
          <t>% (1-20)</t>
        </is>
      </c>
      <c r="F10" t="inlineStr">
        <is>
          <t>6</t>
        </is>
      </c>
    </row>
    <row r="11">
      <c r="A11" t="inlineStr">
        <is>
          <t>ambient_temp_c</t>
        </is>
      </c>
      <c r="B11" t="inlineStr">
        <is>
          <t>دمای محیط (°C)</t>
        </is>
      </c>
      <c r="C11" t="inlineStr">
        <is>
          <t>Ambient temperature (°C)</t>
        </is>
      </c>
      <c r="D11" t="inlineStr">
        <is>
          <t>Umgebungstemperatur (°C)</t>
        </is>
      </c>
      <c r="E11" t="inlineStr">
        <is>
          <t>°C</t>
        </is>
      </c>
      <c r="F11" t="inlineStr">
        <is>
          <t>40</t>
        </is>
      </c>
    </row>
    <row r="12">
      <c r="A12" t="inlineStr">
        <is>
          <t>max_internal_temp_c</t>
        </is>
      </c>
      <c r="B12" t="inlineStr">
        <is>
          <t>حداکثر دمای مجاز داخل تابلو (°C)</t>
        </is>
      </c>
      <c r="C12" t="inlineStr">
        <is>
          <t>Max. allowed temperature inside the panel (°C)</t>
        </is>
      </c>
      <c r="D12" t="inlineStr">
        <is>
          <t>Max. zulässige Innentemperatur (°C)</t>
        </is>
      </c>
      <c r="E12" t="inlineStr">
        <is>
          <t>°C (35-70)</t>
        </is>
      </c>
      <c r="F12" t="inlineStr">
        <is>
          <t>50</t>
        </is>
      </c>
    </row>
    <row r="13">
      <c r="A13" t="inlineStr">
        <is>
          <t>altitude_m</t>
        </is>
      </c>
      <c r="B13" t="inlineStr">
        <is>
          <t>ارتفاع نصب از سطح دریا (m)</t>
        </is>
      </c>
      <c r="C13" t="inlineStr">
        <is>
          <t>Installation altitude above sea level (m)</t>
        </is>
      </c>
      <c r="D13" t="inlineStr">
        <is>
          <t>Aufstellungshöhe über NN (m)</t>
        </is>
      </c>
      <c r="E13" t="inlineStr">
        <is>
          <t>m (0-4000)</t>
        </is>
      </c>
      <c r="F13" t="inlineStr">
        <is>
          <t>1000</t>
        </is>
      </c>
    </row>
    <row r="14">
      <c r="A14" t="inlineStr">
        <is>
          <t>target_ip</t>
        </is>
      </c>
      <c r="B14" t="inlineStr">
        <is>
          <t>درجه حفاظت هدف بدنه تابلو</t>
        </is>
      </c>
      <c r="C14" t="inlineStr">
        <is>
          <t>Target enclosure ingress protection rating</t>
        </is>
      </c>
      <c r="D14" t="inlineStr">
        <is>
          <t>Angestrebte Schutzart des Gehäuses</t>
        </is>
      </c>
      <c r="E14" t="inlineStr">
        <is>
          <t>IP54 | IP55 | IP66</t>
        </is>
      </c>
      <c r="F14" t="inlineStr">
        <is>
          <t>IP54</t>
        </is>
      </c>
    </row>
    <row r="15">
      <c r="A15" t="inlineStr">
        <is>
          <t>internal_separation_form</t>
        </is>
      </c>
      <c r="B15" t="inlineStr">
        <is>
          <t>فرم جداسازی داخلی (IEC 61439-2)</t>
        </is>
      </c>
      <c r="C15" t="inlineStr">
        <is>
          <t>Internal separation form (IEC 61439-2)</t>
        </is>
      </c>
      <c r="D15" t="inlineStr">
        <is>
          <t>Innere Unterteilung (IEC 61439-2)</t>
        </is>
      </c>
      <c r="E15" t="inlineStr">
        <is>
          <t>Form 1 | Form 2b | Form 3b | Form 4b</t>
        </is>
      </c>
      <c r="F15" t="inlineStr">
        <is>
          <t>Form 2b</t>
        </is>
      </c>
    </row>
    <row r="16">
      <c r="A16" t="inlineStr">
        <is>
          <t>simultaneity_factor_ks</t>
        </is>
      </c>
      <c r="B16" t="inlineStr">
        <is>
          <t>ضریب هم‌زمانی کل بارها</t>
        </is>
      </c>
      <c r="C16" t="inlineStr">
        <is>
          <t>Overall load simultaneity factor</t>
        </is>
      </c>
      <c r="D16" t="inlineStr">
        <is>
          <t>Gleichzeitigkeitsfaktor der Lasten</t>
        </is>
      </c>
      <c r="E16" t="inlineStr">
        <is>
          <t>0.1 - 1.0</t>
        </is>
      </c>
      <c r="F16" t="inlineStr">
        <is>
          <t>0.85</t>
        </is>
      </c>
    </row>
    <row r="17">
      <c r="A17" t="inlineStr">
        <is>
          <t>spare_factor</t>
        </is>
      </c>
      <c r="B17" t="inlineStr">
        <is>
          <t>ضریب رزرو برای شینه و کلید اصلی</t>
        </is>
      </c>
      <c r="C17" t="inlineStr">
        <is>
          <t>Spare capacity factor for busbar and main breaker</t>
        </is>
      </c>
      <c r="D17" t="inlineStr">
        <is>
          <t>Reservefaktor für Sammelschiene und Hauptschalter</t>
        </is>
      </c>
      <c r="E17" t="inlineStr">
        <is>
          <t>0.0 - 1.0</t>
        </is>
      </c>
      <c r="F17" t="inlineStr">
        <is>
          <t>0.20</t>
        </is>
      </c>
    </row>
    <row r="18">
      <c r="A18" t="inlineStr">
        <is>
          <t>plc_hmi_24vdc_power_w</t>
        </is>
      </c>
      <c r="B18" t="inlineStr">
        <is>
          <t>توان پیوسته PLC/HMI در مدار ۲۴V DC (W)</t>
        </is>
      </c>
      <c r="C18" t="inlineStr">
        <is>
          <t>Continuous PLC/HMI power on 24V DC circuit (W)</t>
        </is>
      </c>
      <c r="D18" t="inlineStr">
        <is>
          <t>Dauerleistung PLC/HMI am 24-V-DC-Kreis (W)</t>
        </is>
      </c>
      <c r="E18" t="inlineStr">
        <is>
          <t>W</t>
        </is>
      </c>
      <c r="F18" t="inlineStr">
        <is>
          <t>55</t>
        </is>
      </c>
    </row>
    <row r="19">
      <c r="A19" t="inlineStr">
        <is>
          <t>simultaneous_motor_starts</t>
        </is>
      </c>
      <c r="B19" t="inlineStr">
        <is>
          <t>حداکثر تعداد موتورهای هم‌زمان در حال استارت</t>
        </is>
      </c>
      <c r="C19" t="inlineStr">
        <is>
          <t>Max. number of motors starting simultaneously</t>
        </is>
      </c>
      <c r="D19" t="inlineStr">
        <is>
          <t>Max. Anzahl gleichzeitig startender Motoren</t>
        </is>
      </c>
      <c r="E19" t="inlineStr">
        <is>
          <t>1 - 10</t>
        </is>
      </c>
      <c r="F19" t="inlineStr">
        <is>
          <t>2</t>
        </is>
      </c>
    </row>
    <row r="20">
      <c r="A20" t="inlineStr">
        <is>
          <t>preferred_manufacturer</t>
        </is>
      </c>
      <c r="B20" t="inlineStr">
        <is>
          <t>سازنده ترجیحی تجهیزات (ANY = انتخاب آزاد)</t>
        </is>
      </c>
      <c r="C20" t="inlineStr">
        <is>
          <t>Preferred equipment manufacturer (ANY = free choice)</t>
        </is>
      </c>
      <c r="D20" t="inlineStr">
        <is>
          <t>Bevorzugter Gerätehersteller (ANY = freie Wahl)</t>
        </is>
      </c>
      <c r="E20" t="inlineStr">
        <is>
          <t>Text (e.g. SIEMENS, SCHNEIDER, ANY)</t>
        </is>
      </c>
      <c r="F20" t="inlineStr">
        <is>
          <t>ANY</t>
        </is>
      </c>
    </row>
    <row r="21">
      <c r="A21" t="inlineStr">
        <is>
          <t>feeder_id</t>
        </is>
      </c>
      <c r="B21" t="inlineStr">
        <is>
          <t>شناسه یکتای فیدر</t>
        </is>
      </c>
      <c r="C21" t="inlineStr">
        <is>
          <t>Unique feeder identifier</t>
        </is>
      </c>
      <c r="D21" t="inlineStr">
        <is>
          <t>Eindeutige Abgangskennung</t>
        </is>
      </c>
      <c r="E21" t="inlineStr">
        <is>
          <t>Text</t>
        </is>
      </c>
      <c r="F21" t="inlineStr">
        <is>
          <t>F01</t>
        </is>
      </c>
    </row>
    <row r="22">
      <c r="A22" t="inlineStr">
        <is>
          <t>func_tag</t>
        </is>
      </c>
      <c r="B22" t="inlineStr">
        <is>
          <t>تگ عملکرد طبق IEC 81346 (پیشوند =)</t>
        </is>
      </c>
      <c r="C22" t="inlineStr">
        <is>
          <t>Function tag per IEC 81346 (= prefix)</t>
        </is>
      </c>
      <c r="D22" t="inlineStr">
        <is>
          <t>Funktionskennzeichen nach IEC 81346 (= Präfix)</t>
        </is>
      </c>
      <c r="E22" t="inlineStr">
        <is>
          <t>Text</t>
        </is>
      </c>
      <c r="F22">
        <f>PUMP1</f>
        <v/>
      </c>
    </row>
    <row r="23">
      <c r="A23" t="inlineStr">
        <is>
          <t>loc_tag</t>
        </is>
      </c>
      <c r="B23" t="inlineStr">
        <is>
          <t>تگ مکان نصب</t>
        </is>
      </c>
      <c r="C23" t="inlineStr">
        <is>
          <t>Location tag</t>
        </is>
      </c>
      <c r="D23" t="inlineStr">
        <is>
          <t>Ortskennzeichen</t>
        </is>
      </c>
      <c r="E23" t="inlineStr">
        <is>
          <t>Text</t>
        </is>
      </c>
      <c r="F23" t="inlineStr">
        <is>
          <t>+MCC1</t>
        </is>
      </c>
    </row>
    <row r="24">
      <c r="A24" t="inlineStr">
        <is>
          <t>description</t>
        </is>
      </c>
      <c r="B24" t="inlineStr">
        <is>
          <t>شرح مصرف‌کننده</t>
        </is>
      </c>
      <c r="C24" t="inlineStr">
        <is>
          <t>Load description</t>
        </is>
      </c>
      <c r="D24" t="inlineStr">
        <is>
          <t>Lastbeschreibung</t>
        </is>
      </c>
      <c r="E24" t="inlineStr">
        <is>
          <t>Text</t>
        </is>
      </c>
      <c r="F24" t="inlineStr">
        <is>
          <t>Main pump</t>
        </is>
      </c>
    </row>
    <row r="25">
      <c r="A25" t="inlineStr">
        <is>
          <t>load_type</t>
        </is>
      </c>
      <c r="B25" t="inlineStr">
        <is>
          <t>نوع بار</t>
        </is>
      </c>
      <c r="C25" t="inlineStr">
        <is>
          <t>Load type</t>
        </is>
      </c>
      <c r="D25" t="inlineStr">
        <is>
          <t>Lastart</t>
        </is>
      </c>
      <c r="E25" t="inlineStr">
        <is>
          <t>MOTOR_DOL | MOTOR_STAR_DELTA | MOTOR_SOFT_STARTER | MOTOR_VFD | SUB_FEEDER | LIGHTING_SOCKET | HEATER_RESISTIVE</t>
        </is>
      </c>
      <c r="F25" t="inlineStr">
        <is>
          <t>MOTOR_DOL</t>
        </is>
      </c>
    </row>
    <row r="26">
      <c r="A26" t="inlineStr">
        <is>
          <t>power_kw</t>
        </is>
      </c>
      <c r="B26" t="inlineStr">
        <is>
          <t>توان نامی بار (kW)</t>
        </is>
      </c>
      <c r="C26" t="inlineStr">
        <is>
          <t>Rated load power (kW)</t>
        </is>
      </c>
      <c r="D26" t="inlineStr">
        <is>
          <t>Nennleistung der Last (kW)</t>
        </is>
      </c>
      <c r="E26" t="inlineStr">
        <is>
          <t>kW (&gt;0)</t>
        </is>
      </c>
      <c r="F26" t="inlineStr">
        <is>
          <t>15</t>
        </is>
      </c>
    </row>
    <row r="27">
      <c r="A27" t="inlineStr">
        <is>
          <t>phases</t>
        </is>
      </c>
      <c r="B27" t="inlineStr">
        <is>
          <t>تعداد فاز</t>
        </is>
      </c>
      <c r="C27" t="inlineStr">
        <is>
          <t>Number of phases</t>
        </is>
      </c>
      <c r="D27" t="inlineStr">
        <is>
          <t>Phasenzahl</t>
        </is>
      </c>
      <c r="E27" t="inlineStr">
        <is>
          <t>1 | 2 | 3</t>
        </is>
      </c>
      <c r="F27" t="inlineStr">
        <is>
          <t>3</t>
        </is>
      </c>
    </row>
    <row r="28">
      <c r="A28" t="inlineStr">
        <is>
          <t>cos_phi</t>
        </is>
      </c>
      <c r="B28" t="inlineStr">
        <is>
          <t>ضریب توان بار؛ خالی = پیش‌فرض بر اساس نوع بار</t>
        </is>
      </c>
      <c r="C28" t="inlineStr">
        <is>
          <t>Load power factor; empty = default by load type</t>
        </is>
      </c>
      <c r="D28" t="inlineStr">
        <is>
          <t>Leistungsfaktor der Last; leer = Standard je Lastart</t>
        </is>
      </c>
      <c r="E28" t="inlineStr">
        <is>
          <t>0.1 - 1.0</t>
        </is>
      </c>
      <c r="F28" t="inlineStr">
        <is>
          <t>0.85</t>
        </is>
      </c>
    </row>
    <row r="29">
      <c r="A29" t="inlineStr">
        <is>
          <t>efficiency</t>
        </is>
      </c>
      <c r="B29" t="inlineStr">
        <is>
          <t>راندمان؛ خالی = 1.0</t>
        </is>
      </c>
      <c r="C29" t="inlineStr">
        <is>
          <t>Efficiency; empty = 1.0</t>
        </is>
      </c>
      <c r="D29" t="inlineStr">
        <is>
          <t>Wirkungsgrad; leer = 1,0</t>
        </is>
      </c>
      <c r="E29" t="inlineStr">
        <is>
          <t>0.1 - 1.0</t>
        </is>
      </c>
      <c r="F29" t="inlineStr">
        <is>
          <t>0.91</t>
        </is>
      </c>
    </row>
    <row r="30">
      <c r="A30" t="inlineStr">
        <is>
          <t>demand_factor_kd</t>
        </is>
      </c>
      <c r="B30" t="inlineStr">
        <is>
          <t>ضریب تقاضای بار</t>
        </is>
      </c>
      <c r="C30" t="inlineStr">
        <is>
          <t>Load demand factor</t>
        </is>
      </c>
      <c r="D30" t="inlineStr">
        <is>
          <t>Bedarfsfaktor der Last</t>
        </is>
      </c>
      <c r="E30" t="inlineStr">
        <is>
          <t>0.1 - 1.0</t>
        </is>
      </c>
      <c r="F30" t="inlineStr">
        <is>
          <t>1.0</t>
        </is>
      </c>
    </row>
    <row r="31">
      <c r="A31" t="inlineStr">
        <is>
          <t>cable_length_m</t>
        </is>
      </c>
      <c r="B31" t="inlineStr">
        <is>
          <t>طول کابل تا مصرف‌کننده (m)</t>
        </is>
      </c>
      <c r="C31" t="inlineStr">
        <is>
          <t>Cable length to load (m)</t>
        </is>
      </c>
      <c r="D31" t="inlineStr">
        <is>
          <t>Kabellänge zur Last (m)</t>
        </is>
      </c>
      <c r="E31" t="inlineStr">
        <is>
          <t>m</t>
        </is>
      </c>
      <c r="F31" t="inlineStr">
        <is>
          <t>45</t>
        </is>
      </c>
    </row>
    <row r="32">
      <c r="A32" t="inlineStr">
        <is>
          <t>cable_section_mm2</t>
        </is>
      </c>
      <c r="B32" t="inlineStr">
        <is>
          <t>سطح مقطع کابل موجود؛ خالی = انتخاب خودکار</t>
        </is>
      </c>
      <c r="C32" t="inlineStr">
        <is>
          <t>Existing cable cross-section; empty = auto-select</t>
        </is>
      </c>
      <c r="D32" t="inlineStr">
        <is>
          <t>Vorhandener Kabelquerschnitt; leer = automatische Wahl</t>
        </is>
      </c>
      <c r="E32" t="inlineStr">
        <is>
          <t>mm² (e.g. 2.5, 4, 6, 10, 16, ...)</t>
        </is>
      </c>
      <c r="F32" t="inlineStr"/>
    </row>
    <row r="33">
      <c r="A33" t="inlineStr">
        <is>
          <t>has_socket_outlets</t>
        </is>
      </c>
      <c r="B33" t="inlineStr">
        <is>
          <t>وجود پریز خروجی در فیدر</t>
        </is>
      </c>
      <c r="C33" t="inlineStr">
        <is>
          <t>Feeder has socket outlets</t>
        </is>
      </c>
      <c r="D33" t="inlineStr">
        <is>
          <t>Abgang mit Steckdosen</t>
        </is>
      </c>
      <c r="E33" t="inlineStr">
        <is>
          <t>TRUE | FALSE</t>
        </is>
      </c>
      <c r="F33" t="inlineStr">
        <is>
          <t>FALSE</t>
        </is>
      </c>
    </row>
    <row r="34">
      <c r="A34" t="inlineStr">
        <is>
          <t>conductor_material</t>
        </is>
      </c>
      <c r="B34" t="inlineStr">
        <is>
          <t>جنس هادی کابل</t>
        </is>
      </c>
      <c r="C34" t="inlineStr">
        <is>
          <t>Cable conductor material</t>
        </is>
      </c>
      <c r="D34" t="inlineStr">
        <is>
          <t>Kabelleiterwerkstoff</t>
        </is>
      </c>
      <c r="E34" t="inlineStr">
        <is>
          <t>CU | AL</t>
        </is>
      </c>
      <c r="F34" t="inlineStr">
        <is>
          <t>CU</t>
        </is>
      </c>
    </row>
    <row r="35">
      <c r="A35" t="inlineStr">
        <is>
          <t>insulation</t>
        </is>
      </c>
      <c r="B35" t="inlineStr">
        <is>
          <t>نوع عایق کابل</t>
        </is>
      </c>
      <c r="C35" t="inlineStr">
        <is>
          <t>Cable insulation type</t>
        </is>
      </c>
      <c r="D35" t="inlineStr">
        <is>
          <t>Kabelisolierung</t>
        </is>
      </c>
      <c r="E35" t="inlineStr">
        <is>
          <t>PVC | XLPE</t>
        </is>
      </c>
      <c r="F35" t="inlineStr">
        <is>
          <t>PVC</t>
        </is>
      </c>
    </row>
    <row r="36">
      <c r="A36" t="inlineStr">
        <is>
          <t>installation_method</t>
        </is>
      </c>
      <c r="B36" t="inlineStr">
        <is>
          <t>روش نصب کابل (IEC 60364-5-52)</t>
        </is>
      </c>
      <c r="C36" t="inlineStr">
        <is>
          <t>Cable installation method (IEC 60364-5-52)</t>
        </is>
      </c>
      <c r="D36" t="inlineStr">
        <is>
          <t>Verlegeart des Kabels (IEC 60364-5-52)</t>
        </is>
      </c>
      <c r="E36" t="inlineStr">
        <is>
          <t>C | B1 | E | F</t>
        </is>
      </c>
      <c r="F36" t="inlineStr">
        <is>
          <t>C</t>
        </is>
      </c>
    </row>
    <row r="37">
      <c r="A37" t="inlineStr">
        <is>
          <t>fire_resistant</t>
        </is>
      </c>
      <c r="B37" t="inlineStr">
        <is>
          <t>کابل مقاوم در برابر آتش</t>
        </is>
      </c>
      <c r="C37" t="inlineStr">
        <is>
          <t>Fire-resistant cable</t>
        </is>
      </c>
      <c r="D37" t="inlineStr">
        <is>
          <t>Feuerbeständiges Kabel</t>
        </is>
      </c>
      <c r="E37" t="inlineStr">
        <is>
          <t>TRUE | FALSE</t>
        </is>
      </c>
      <c r="F37" t="inlineStr">
        <is>
          <t>FALSE</t>
        </is>
      </c>
    </row>
    <row r="38">
      <c r="A38" t="inlineStr">
        <is>
          <t>thdi_pct</t>
        </is>
      </c>
      <c r="B38" t="inlineStr">
        <is>
          <t>اعوجاج هارمونیکی جریان بار (%)؛ خالی = بدون هارمونیک</t>
        </is>
      </c>
      <c r="C38" t="inlineStr">
        <is>
          <t>Load current harmonic distortion THDi (%); empty = none</t>
        </is>
      </c>
      <c r="D38" t="inlineStr">
        <is>
          <t>Oberschwingungsgehalt THDi der Last (%); leer = keine</t>
        </is>
      </c>
      <c r="E38" t="inlineStr">
        <is>
          <t>% (0-100)</t>
        </is>
      </c>
      <c r="F38" t="inlineStr">
        <is>
          <t>40</t>
        </is>
      </c>
    </row>
    <row r="39">
      <c r="A39" t="inlineStr">
        <is>
          <t>fire_pump_service</t>
        </is>
      </c>
      <c r="B39" t="inlineStr">
        <is>
          <t>سرویس پمپ آتش‌نشانی (قواعد ویژه)</t>
        </is>
      </c>
      <c r="C39" t="inlineStr">
        <is>
          <t>Fire pump service (special rules)</t>
        </is>
      </c>
      <c r="D39" t="inlineStr">
        <is>
          <t>Feuerlöschpumpen-Betrieb (Sonderregeln)</t>
        </is>
      </c>
      <c r="E39" t="inlineStr">
        <is>
          <t>TRUE | FALSE</t>
        </is>
      </c>
      <c r="F3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2026-10-25T04:35:11Z</dcterms:created>
  <dcterms:modified xsi:type="dcterms:W3CDTF">2026-10-25T04:35:11Z</dcterms:modified>
</cp:coreProperties>
</file>